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erick\Downloads\"/>
    </mc:Choice>
  </mc:AlternateContent>
  <xr:revisionPtr revIDLastSave="0" documentId="13_ncr:1_{20E54DF5-5F1D-4947-AA68-41C6507A198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ronograma" sheetId="1" r:id="rId1"/>
  </sheets>
  <definedNames>
    <definedName name="_xlnm.Print_Area" localSheetId="0">Cronograma!$A$1:$AO$45</definedName>
    <definedName name="_xlnm.Print_Titles" localSheetId="0">Cronograma!$4:$5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H35" i="1"/>
  <c r="H30" i="1"/>
  <c r="H6" i="1"/>
  <c r="H13" i="1"/>
  <c r="H19" i="1"/>
  <c r="D6" i="1"/>
  <c r="E6" i="1"/>
  <c r="F40" i="1"/>
  <c r="F39" i="1"/>
  <c r="F38" i="1"/>
  <c r="F37" i="1"/>
  <c r="F36" i="1"/>
  <c r="E35" i="1"/>
  <c r="D35" i="1"/>
  <c r="F34" i="1"/>
  <c r="F33" i="1"/>
  <c r="F32" i="1"/>
  <c r="F31" i="1"/>
  <c r="E30" i="1"/>
  <c r="D30" i="1"/>
  <c r="F28" i="1"/>
  <c r="F27" i="1"/>
  <c r="F26" i="1"/>
  <c r="F25" i="1"/>
  <c r="F24" i="1"/>
  <c r="F23" i="1"/>
  <c r="F22" i="1"/>
  <c r="F21" i="1"/>
  <c r="F20" i="1"/>
  <c r="E19" i="1"/>
  <c r="D19" i="1"/>
  <c r="F18" i="1"/>
  <c r="F17" i="1"/>
  <c r="F16" i="1"/>
  <c r="F15" i="1"/>
  <c r="F14" i="1"/>
  <c r="E13" i="1"/>
  <c r="D13" i="1"/>
  <c r="F12" i="1"/>
  <c r="F11" i="1"/>
  <c r="F10" i="1"/>
  <c r="F9" i="1"/>
  <c r="F8" i="1"/>
  <c r="F7" i="1"/>
  <c r="F13" i="1" l="1"/>
  <c r="F6" i="1"/>
  <c r="F30" i="1"/>
  <c r="F19" i="1"/>
  <c r="F35" i="1"/>
</calcChain>
</file>

<file path=xl/sharedStrings.xml><?xml version="1.0" encoding="utf-8"?>
<sst xmlns="http://schemas.openxmlformats.org/spreadsheetml/2006/main" count="143" uniqueCount="67">
  <si>
    <t>Sep</t>
  </si>
  <si>
    <t>Octubre 2026</t>
  </si>
  <si>
    <t>ID</t>
  </si>
  <si>
    <t>Tarea / Subtarea</t>
  </si>
  <si>
    <t>Responsable</t>
  </si>
  <si>
    <t>Inicio</t>
  </si>
  <si>
    <t>Fin</t>
  </si>
  <si>
    <t>Días</t>
  </si>
  <si>
    <t>Estado</t>
  </si>
  <si>
    <t>% Avance</t>
  </si>
  <si>
    <t>M</t>
  </si>
  <si>
    <t>X</t>
  </si>
  <si>
    <t>J</t>
  </si>
  <si>
    <t>V</t>
  </si>
  <si>
    <t>S</t>
  </si>
  <si>
    <t>D</t>
  </si>
  <si>
    <t>L</t>
  </si>
  <si>
    <t>Todo el equipo</t>
  </si>
  <si>
    <t xml:space="preserve">   Reunión 2: aprobación del diseño</t>
  </si>
  <si>
    <t xml:space="preserve">   Carrito de compras</t>
  </si>
  <si>
    <t xml:space="preserve">   Reunión 3: revisión de avance</t>
  </si>
  <si>
    <t xml:space="preserve">   Gestión de pedidos y clientes</t>
  </si>
  <si>
    <t>Fase 5: Documentación y entrega</t>
  </si>
  <si>
    <t xml:space="preserve">   Revisión final y conversión a PDF</t>
  </si>
  <si>
    <t>Fase</t>
  </si>
  <si>
    <t>Tarea</t>
  </si>
  <si>
    <t>Reunión / hito</t>
  </si>
  <si>
    <t>Fin de semana</t>
  </si>
  <si>
    <t>Erick Lux</t>
  </si>
  <si>
    <t>Erick Lux (Coord.)</t>
  </si>
  <si>
    <t>Daniel Zet</t>
  </si>
  <si>
    <t>Hasler Diaz</t>
  </si>
  <si>
    <t xml:space="preserve">Erick Lux </t>
  </si>
  <si>
    <t>Paola Contreras</t>
  </si>
  <si>
    <t>Erick Lux / Daniel Zet</t>
  </si>
  <si>
    <t>Hasler Diaz / Paola Contreras</t>
  </si>
  <si>
    <t>Completado</t>
  </si>
  <si>
    <t>Cronograma – Tienda en Línea de PHEZ, S.A.: Sistema de Ventas en Línea de Productos Alimenticios</t>
  </si>
  <si>
    <t>Fase 1: Inicio y planificación del proyecto</t>
  </si>
  <si>
    <t xml:space="preserve">   Conformar el equipo y repartir responsabilidades</t>
  </si>
  <si>
    <t xml:space="preserve">   Elaborar el cronograma del proyecto</t>
  </si>
  <si>
    <t xml:space="preserve">   Crear el repositorio en GitHub y ordenar carpetas</t>
  </si>
  <si>
    <t xml:space="preserve">   Enviar la agenda de la primera reunión (24 horas antes)</t>
  </si>
  <si>
    <t xml:space="preserve">   Reunión 1: inicio del proyecto y firma del acta</t>
  </si>
  <si>
    <t xml:space="preserve">   Bocetos de las pantallas de la tienda</t>
  </si>
  <si>
    <t xml:space="preserve">   Plan de pruebas del sistema</t>
  </si>
  <si>
    <t>Fase 3: Desarrollo de la tienda en línea</t>
  </si>
  <si>
    <t xml:space="preserve">   Preparar el proyecto en NetBeans y el servidor</t>
  </si>
  <si>
    <t xml:space="preserve">   Crear la base de datos y conectarla con el sistema</t>
  </si>
  <si>
    <t xml:space="preserve">   Registro, inicio de sesión y permisos por rol</t>
  </si>
  <si>
    <t xml:space="preserve">   Compra, pago simulado y registro del pedido</t>
  </si>
  <si>
    <t>Fase 4: Pruebas y aseguramiento de calidad</t>
  </si>
  <si>
    <t xml:space="preserve">   Pruebas de cada módulo</t>
  </si>
  <si>
    <t xml:space="preserve">   Corrección de errores encontrados</t>
  </si>
  <si>
    <t xml:space="preserve">   Pruebas finales y aceptación</t>
  </si>
  <si>
    <t xml:space="preserve">   Minutas y evidencia de versiones (GitHub)</t>
  </si>
  <si>
    <t xml:space="preserve">   Carta reflexiva del grupo</t>
  </si>
  <si>
    <t xml:space="preserve">   Elaborar el acta de constitución del proyecto </t>
  </si>
  <si>
    <t xml:space="preserve">   Conocer qué se necesita y cómo vender los productos</t>
  </si>
  <si>
    <t xml:space="preserve">   Entrega final</t>
  </si>
  <si>
    <t xml:space="preserve">   Propuesta técnica </t>
  </si>
  <si>
    <t xml:space="preserve">   Reportes de ventas e inventario </t>
  </si>
  <si>
    <t xml:space="preserve">   Panel del administrador: productos e inventario</t>
  </si>
  <si>
    <t xml:space="preserve">   Diseño de la base de datos</t>
  </si>
  <si>
    <t xml:space="preserve">Fase 2: Análisis y diseño de la tienda </t>
  </si>
  <si>
    <t xml:space="preserve">   Pruebas de seguridad </t>
  </si>
  <si>
    <t xml:space="preserve">   Página de inicio y catálogo de productos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</si>
</sst>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12" x14ac:knownFonts="1">
    <font>
      <sz val="11"/>
      <color theme="1"/>
      <name val="Calibri"/>
      <family val="2"/>
      <scheme val="minor"/>
    </font>
    <font>
      <b/>
      <sz val="14"/>
      <color rgb="FF2E7D32"/>
      <name val="Arial"/>
      <family val="2"/>
    </font>
    <font>
      <sz val="11"/>
      <color theme="1"/>
      <name val="Arial"/>
      <family val="2"/>
    </font>
    <font>
      <i/>
      <sz val="9"/>
      <color rgb="FF607D8B"/>
      <name val="Arial"/>
      <family val="2"/>
    </font>
    <font>
      <b/>
      <sz val="8"/>
      <color rgb="FF2E7D32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7"/>
      <color rgb="FFFFE0B2"/>
      <name val="Arial"/>
      <family val="2"/>
    </font>
    <font>
      <b/>
      <sz val="9"/>
      <color rgb="FF1B5E2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C8E6C9"/>
      </patternFill>
    </fill>
    <fill>
      <patternFill patternType="solid">
        <fgColor rgb="FF1B5E20"/>
      </patternFill>
    </fill>
    <fill>
      <patternFill patternType="solid">
        <fgColor rgb="FF66BB6A"/>
      </patternFill>
    </fill>
    <fill>
      <patternFill patternType="solid">
        <fgColor rgb="FFF57C00"/>
      </patternFill>
    </fill>
    <fill>
      <patternFill patternType="solid">
        <fgColor rgb="FFF1F3F4"/>
      </patternFill>
    </fill>
    <fill>
      <patternFill patternType="solid">
        <fgColor theme="0"/>
        <bgColor indexed="64"/>
      </patternFill>
    </fill>
    <fill>
      <patternFill patternType="solid">
        <fgColor rgb="FF006600"/>
        <bgColor indexed="64"/>
      </patternFill>
    </fill>
  </fills>
  <borders count="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/>
      <right/>
      <top/>
      <bottom style="thin">
        <color rgb="FFB0BEC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164" fontId="6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14" fontId="8" fillId="3" borderId="1" xfId="0" applyNumberFormat="1" applyFont="1" applyFill="1" applyBorder="1" applyAlignment="1">
      <alignment horizontal="center" vertical="center"/>
    </xf>
    <xf numFmtId="9" fontId="8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0" fontId="10" fillId="0" borderId="0" xfId="0" applyFont="1"/>
    <xf numFmtId="0" fontId="2" fillId="4" borderId="1" xfId="0" applyFont="1" applyFill="1" applyBorder="1"/>
    <xf numFmtId="0" fontId="9" fillId="0" borderId="0" xfId="0" applyFont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11" fillId="0" borderId="0" xfId="0" applyFont="1"/>
    <xf numFmtId="0" fontId="1" fillId="0" borderId="0" xfId="0" applyFont="1"/>
    <xf numFmtId="2" fontId="9" fillId="0" borderId="1" xfId="0" applyNumberFormat="1" applyFont="1" applyBorder="1" applyAlignment="1">
      <alignment horizontal="center" vertical="center"/>
    </xf>
    <xf numFmtId="0" fontId="2" fillId="8" borderId="1" xfId="0" applyFont="1" applyFill="1" applyBorder="1"/>
    <xf numFmtId="0" fontId="0" fillId="9" borderId="0" xfId="0" applyFill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2" fillId="0" borderId="2" xfId="0" applyFont="1" applyBorder="1"/>
  </cellXfs>
  <cellStyles count="1">
    <cellStyle name="Normal" xfId="0" builtinId="0"/>
  </cellStyles>
  <dxfs count="8">
    <dxf>
      <fill>
        <patternFill patternType="solid">
          <fgColor rgb="FFF1F3F4"/>
          <bgColor rgb="FFF1F3F4"/>
        </patternFill>
      </fill>
    </dxf>
    <dxf>
      <fill>
        <patternFill patternType="solid">
          <fgColor rgb="FF66BB6A"/>
          <bgColor rgb="FF66BB6A"/>
        </patternFill>
      </fill>
    </dxf>
    <dxf>
      <fill>
        <patternFill patternType="solid">
          <fgColor rgb="FF1B5E20"/>
          <bgColor rgb="FF1B5E20"/>
        </patternFill>
      </fill>
    </dxf>
    <dxf>
      <fill>
        <patternFill patternType="solid">
          <fgColor rgb="FFF57C00"/>
          <bgColor rgb="FFF57C00"/>
        </patternFill>
      </fill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66BB6A"/>
          <bgColor rgb="FF66BB6A"/>
        </patternFill>
      </fill>
    </dxf>
    <dxf>
      <fill>
        <patternFill patternType="solid">
          <fgColor rgb="FF1B5E20"/>
          <bgColor rgb="FF1B5E20"/>
        </patternFill>
      </fill>
    </dxf>
    <dxf>
      <fill>
        <patternFill patternType="solid">
          <fgColor rgb="FFF57C00"/>
          <bgColor rgb="FFF57C00"/>
        </patternFill>
      </fill>
    </dxf>
  </dxfs>
  <tableStyles count="0" defaultTableStyle="TableStyleMedium9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44"/>
  <sheetViews>
    <sheetView tabSelected="1" topLeftCell="A11" workbookViewId="0">
      <selection activeCell="D37" sqref="D37"/>
    </sheetView>
  </sheetViews>
  <sheetFormatPr baseColWidth="10" defaultColWidth="8.85546875" defaultRowHeight="15" x14ac:dyDescent="0.25"/>
  <cols>
    <col min="1" max="1" width="5" customWidth="1"/>
    <col min="2" max="2" width="46" customWidth="1"/>
    <col min="3" max="3" width="24" customWidth="1"/>
    <col min="4" max="5" width="10.42578125" customWidth="1"/>
    <col min="6" max="6" width="5" customWidth="1"/>
    <col min="7" max="7" width="10" customWidth="1"/>
    <col min="8" max="8" width="7.42578125" customWidth="1"/>
    <col min="9" max="41" width="3" customWidth="1"/>
  </cols>
  <sheetData>
    <row r="1" spans="1:41" s="21" customFormat="1" ht="18" x14ac:dyDescent="0.25">
      <c r="A1" s="27" t="s">
        <v>37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</row>
    <row r="2" spans="1:41" x14ac:dyDescent="0.25">
      <c r="A2" s="25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x14ac:dyDescent="0.25">
      <c r="A3" s="1"/>
      <c r="B3" s="1"/>
      <c r="C3" s="1"/>
      <c r="D3" s="1"/>
      <c r="E3" s="1"/>
      <c r="F3" s="1"/>
      <c r="G3" s="1"/>
      <c r="H3" s="1"/>
      <c r="I3" s="26" t="s">
        <v>0</v>
      </c>
      <c r="J3" s="1"/>
      <c r="K3" s="1"/>
      <c r="L3" s="26" t="s">
        <v>1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x14ac:dyDescent="0.25">
      <c r="A4" s="28" t="s">
        <v>2</v>
      </c>
      <c r="B4" s="28" t="s">
        <v>3</v>
      </c>
      <c r="C4" s="28" t="s">
        <v>4</v>
      </c>
      <c r="D4" s="28" t="s">
        <v>5</v>
      </c>
      <c r="E4" s="28" t="s">
        <v>6</v>
      </c>
      <c r="F4" s="28" t="s">
        <v>7</v>
      </c>
      <c r="G4" s="28" t="s">
        <v>8</v>
      </c>
      <c r="H4" s="28" t="s">
        <v>9</v>
      </c>
      <c r="I4" s="2">
        <v>46294</v>
      </c>
      <c r="J4" s="2">
        <v>46295</v>
      </c>
      <c r="K4" s="2">
        <v>46296</v>
      </c>
      <c r="L4" s="2">
        <v>46297</v>
      </c>
      <c r="M4" s="2">
        <v>46298</v>
      </c>
      <c r="N4" s="2">
        <v>46299</v>
      </c>
      <c r="O4" s="2">
        <v>46300</v>
      </c>
      <c r="P4" s="2">
        <v>46301</v>
      </c>
      <c r="Q4" s="2">
        <v>46302</v>
      </c>
      <c r="R4" s="2">
        <v>46303</v>
      </c>
      <c r="S4" s="2">
        <v>46304</v>
      </c>
      <c r="T4" s="2">
        <v>46305</v>
      </c>
      <c r="U4" s="2">
        <v>46306</v>
      </c>
      <c r="V4" s="2">
        <v>46307</v>
      </c>
      <c r="W4" s="2">
        <v>46308</v>
      </c>
      <c r="X4" s="2">
        <v>46309</v>
      </c>
      <c r="Y4" s="2">
        <v>46310</v>
      </c>
      <c r="Z4" s="2">
        <v>46311</v>
      </c>
      <c r="AA4" s="2">
        <v>46312</v>
      </c>
      <c r="AB4" s="2">
        <v>46313</v>
      </c>
      <c r="AC4" s="2">
        <v>46314</v>
      </c>
      <c r="AD4" s="2">
        <v>46315</v>
      </c>
      <c r="AE4" s="2">
        <v>46316</v>
      </c>
      <c r="AF4" s="2">
        <v>46317</v>
      </c>
      <c r="AG4" s="2">
        <v>46318</v>
      </c>
      <c r="AH4" s="2">
        <v>46319</v>
      </c>
      <c r="AI4" s="2">
        <v>46320</v>
      </c>
      <c r="AJ4" s="2">
        <v>46321</v>
      </c>
      <c r="AK4" s="2">
        <v>46322</v>
      </c>
      <c r="AL4" s="2">
        <v>46323</v>
      </c>
      <c r="AM4" s="2">
        <v>46324</v>
      </c>
      <c r="AN4" s="2">
        <v>46325</v>
      </c>
      <c r="AO4" s="2">
        <v>46326</v>
      </c>
    </row>
    <row r="5" spans="1:41" x14ac:dyDescent="0.25">
      <c r="A5" s="29"/>
      <c r="B5" s="29"/>
      <c r="C5" s="29"/>
      <c r="D5" s="29"/>
      <c r="E5" s="29"/>
      <c r="F5" s="29"/>
      <c r="G5" s="29"/>
      <c r="H5" s="29"/>
      <c r="I5" s="3" t="s">
        <v>10</v>
      </c>
      <c r="J5" s="3" t="s">
        <v>11</v>
      </c>
      <c r="K5" s="3" t="s">
        <v>12</v>
      </c>
      <c r="L5" s="3" t="s">
        <v>13</v>
      </c>
      <c r="M5" s="4" t="s">
        <v>14</v>
      </c>
      <c r="N5" s="4" t="s">
        <v>15</v>
      </c>
      <c r="O5" s="3" t="s">
        <v>16</v>
      </c>
      <c r="P5" s="3" t="s">
        <v>10</v>
      </c>
      <c r="Q5" s="3" t="s">
        <v>11</v>
      </c>
      <c r="R5" s="3" t="s">
        <v>12</v>
      </c>
      <c r="S5" s="3" t="s">
        <v>13</v>
      </c>
      <c r="T5" s="4" t="s">
        <v>14</v>
      </c>
      <c r="U5" s="4" t="s">
        <v>15</v>
      </c>
      <c r="V5" s="3" t="s">
        <v>16</v>
      </c>
      <c r="W5" s="3" t="s">
        <v>10</v>
      </c>
      <c r="X5" s="3" t="s">
        <v>11</v>
      </c>
      <c r="Y5" s="3" t="s">
        <v>12</v>
      </c>
      <c r="Z5" s="3" t="s">
        <v>13</v>
      </c>
      <c r="AA5" s="4" t="s">
        <v>14</v>
      </c>
      <c r="AB5" s="4" t="s">
        <v>15</v>
      </c>
      <c r="AC5" s="3" t="s">
        <v>16</v>
      </c>
      <c r="AD5" s="3" t="s">
        <v>10</v>
      </c>
      <c r="AE5" s="3" t="s">
        <v>11</v>
      </c>
      <c r="AF5" s="3" t="s">
        <v>12</v>
      </c>
      <c r="AG5" s="3" t="s">
        <v>13</v>
      </c>
      <c r="AH5" s="4" t="s">
        <v>14</v>
      </c>
      <c r="AI5" s="4" t="s">
        <v>15</v>
      </c>
      <c r="AJ5" s="3" t="s">
        <v>16</v>
      </c>
      <c r="AK5" s="3" t="s">
        <v>10</v>
      </c>
      <c r="AL5" s="3" t="s">
        <v>11</v>
      </c>
      <c r="AM5" s="3" t="s">
        <v>12</v>
      </c>
      <c r="AN5" s="3" t="s">
        <v>13</v>
      </c>
      <c r="AO5" s="4" t="s">
        <v>14</v>
      </c>
    </row>
    <row r="6" spans="1:41" x14ac:dyDescent="0.25">
      <c r="A6" s="5">
        <v>1</v>
      </c>
      <c r="B6" s="6" t="s">
        <v>38</v>
      </c>
      <c r="C6" s="6"/>
      <c r="D6" s="7">
        <f>D7</f>
        <v>46294</v>
      </c>
      <c r="E6" s="7">
        <f>MAX(E7:E12)</f>
        <v>46300</v>
      </c>
      <c r="F6" s="5">
        <f>E6-D6+1</f>
        <v>7</v>
      </c>
      <c r="G6" s="5"/>
      <c r="H6" s="8">
        <f>AVERAGE(H7:H12)</f>
        <v>1</v>
      </c>
      <c r="I6" s="23"/>
      <c r="J6" s="23"/>
      <c r="K6" s="23"/>
      <c r="L6" s="24"/>
      <c r="M6" s="23"/>
      <c r="N6" s="23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</row>
    <row r="7" spans="1:41" x14ac:dyDescent="0.25">
      <c r="A7" s="10">
        <v>1.1000000000000001</v>
      </c>
      <c r="B7" s="11" t="s">
        <v>39</v>
      </c>
      <c r="C7" s="11" t="s">
        <v>29</v>
      </c>
      <c r="D7" s="12">
        <v>46294</v>
      </c>
      <c r="E7" s="12">
        <v>46294</v>
      </c>
      <c r="F7" s="10">
        <f t="shared" ref="F7:F40" si="0">E7-D7+1</f>
        <v>1</v>
      </c>
      <c r="G7" s="10" t="s">
        <v>36</v>
      </c>
      <c r="H7" s="13">
        <v>1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</row>
    <row r="8" spans="1:41" x14ac:dyDescent="0.25">
      <c r="A8" s="10">
        <v>1.2</v>
      </c>
      <c r="B8" s="11" t="s">
        <v>57</v>
      </c>
      <c r="C8" s="11" t="s">
        <v>33</v>
      </c>
      <c r="D8" s="12">
        <v>46295</v>
      </c>
      <c r="E8" s="12">
        <v>46299</v>
      </c>
      <c r="F8" s="10">
        <f t="shared" si="0"/>
        <v>5</v>
      </c>
      <c r="G8" s="10" t="s">
        <v>36</v>
      </c>
      <c r="H8" s="13">
        <v>1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</row>
    <row r="9" spans="1:41" x14ac:dyDescent="0.25">
      <c r="A9" s="10">
        <v>1.3</v>
      </c>
      <c r="B9" s="11" t="s">
        <v>40</v>
      </c>
      <c r="C9" s="11" t="s">
        <v>31</v>
      </c>
      <c r="D9" s="12">
        <v>46295</v>
      </c>
      <c r="E9" s="12">
        <v>46300</v>
      </c>
      <c r="F9" s="10">
        <f t="shared" si="0"/>
        <v>6</v>
      </c>
      <c r="G9" s="10" t="s">
        <v>36</v>
      </c>
      <c r="H9" s="13">
        <v>1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</row>
    <row r="10" spans="1:41" x14ac:dyDescent="0.25">
      <c r="A10" s="10">
        <v>1.4</v>
      </c>
      <c r="B10" s="11" t="s">
        <v>41</v>
      </c>
      <c r="C10" s="11" t="s">
        <v>30</v>
      </c>
      <c r="D10" s="12">
        <v>46297</v>
      </c>
      <c r="E10" s="12">
        <v>46297</v>
      </c>
      <c r="F10" s="10">
        <f t="shared" si="0"/>
        <v>1</v>
      </c>
      <c r="G10" s="10" t="s">
        <v>36</v>
      </c>
      <c r="H10" s="13">
        <v>1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</row>
    <row r="11" spans="1:41" x14ac:dyDescent="0.25">
      <c r="A11" s="10">
        <v>1.5</v>
      </c>
      <c r="B11" s="11" t="s">
        <v>42</v>
      </c>
      <c r="C11" s="11" t="s">
        <v>32</v>
      </c>
      <c r="D11" s="12">
        <v>46298</v>
      </c>
      <c r="E11" s="12">
        <v>46299</v>
      </c>
      <c r="F11" s="10">
        <f t="shared" si="0"/>
        <v>2</v>
      </c>
      <c r="G11" s="10" t="s">
        <v>36</v>
      </c>
      <c r="H11" s="13">
        <v>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</row>
    <row r="12" spans="1:41" x14ac:dyDescent="0.25">
      <c r="A12" s="10">
        <v>1.6</v>
      </c>
      <c r="B12" s="11" t="s">
        <v>43</v>
      </c>
      <c r="C12" s="11" t="s">
        <v>17</v>
      </c>
      <c r="D12" s="12">
        <v>46300</v>
      </c>
      <c r="E12" s="12">
        <v>46300</v>
      </c>
      <c r="F12" s="10">
        <f t="shared" si="0"/>
        <v>1</v>
      </c>
      <c r="G12" s="10" t="s">
        <v>36</v>
      </c>
      <c r="H12" s="13">
        <v>1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</row>
    <row r="13" spans="1:41" x14ac:dyDescent="0.25">
      <c r="A13" s="5">
        <v>2</v>
      </c>
      <c r="B13" s="6" t="s">
        <v>64</v>
      </c>
      <c r="C13" s="6"/>
      <c r="D13" s="7">
        <f>MIN(D14:D18)</f>
        <v>46298</v>
      </c>
      <c r="E13" s="7">
        <f>MAX(E14:E18)</f>
        <v>46307</v>
      </c>
      <c r="F13" s="5">
        <f>E13-D13+1</f>
        <v>10</v>
      </c>
      <c r="G13" s="6"/>
      <c r="H13" s="8">
        <f>AVERAGE(H14:H18)</f>
        <v>1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</row>
    <row r="14" spans="1:41" x14ac:dyDescent="0.25">
      <c r="A14" s="10">
        <v>2.1</v>
      </c>
      <c r="B14" s="11" t="s">
        <v>58</v>
      </c>
      <c r="C14" s="11" t="s">
        <v>17</v>
      </c>
      <c r="D14" s="12">
        <v>46298</v>
      </c>
      <c r="E14" s="12">
        <v>46301</v>
      </c>
      <c r="F14" s="10">
        <f t="shared" si="0"/>
        <v>4</v>
      </c>
      <c r="G14" s="10" t="s">
        <v>36</v>
      </c>
      <c r="H14" s="13">
        <v>1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</row>
    <row r="15" spans="1:41" x14ac:dyDescent="0.25">
      <c r="A15" s="10">
        <v>2.2000000000000002</v>
      </c>
      <c r="B15" s="11" t="s">
        <v>63</v>
      </c>
      <c r="C15" s="11" t="s">
        <v>32</v>
      </c>
      <c r="D15" s="12">
        <v>46300</v>
      </c>
      <c r="E15" s="12">
        <v>46303</v>
      </c>
      <c r="F15" s="10">
        <f t="shared" si="0"/>
        <v>4</v>
      </c>
      <c r="G15" s="10" t="s">
        <v>36</v>
      </c>
      <c r="H15" s="13">
        <v>1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</row>
    <row r="16" spans="1:41" x14ac:dyDescent="0.25">
      <c r="A16" s="10">
        <v>2.2999999999999998</v>
      </c>
      <c r="B16" s="11" t="s">
        <v>44</v>
      </c>
      <c r="C16" s="11" t="s">
        <v>17</v>
      </c>
      <c r="D16" s="12">
        <v>46301</v>
      </c>
      <c r="E16" s="12">
        <v>46304</v>
      </c>
      <c r="F16" s="10">
        <f t="shared" si="0"/>
        <v>4</v>
      </c>
      <c r="G16" s="10" t="s">
        <v>36</v>
      </c>
      <c r="H16" s="13">
        <v>1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</row>
    <row r="17" spans="1:41" x14ac:dyDescent="0.25">
      <c r="A17" s="10">
        <v>2.4</v>
      </c>
      <c r="B17" s="11" t="s">
        <v>45</v>
      </c>
      <c r="C17" s="11" t="s">
        <v>32</v>
      </c>
      <c r="D17" s="12">
        <v>46302</v>
      </c>
      <c r="E17" s="12">
        <v>46306</v>
      </c>
      <c r="F17" s="10">
        <f t="shared" si="0"/>
        <v>5</v>
      </c>
      <c r="G17" s="10" t="s">
        <v>36</v>
      </c>
      <c r="H17" s="13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</row>
    <row r="18" spans="1:41" x14ac:dyDescent="0.25">
      <c r="A18" s="10">
        <v>2.5</v>
      </c>
      <c r="B18" s="11" t="s">
        <v>18</v>
      </c>
      <c r="C18" s="11" t="s">
        <v>17</v>
      </c>
      <c r="D18" s="12">
        <v>46307</v>
      </c>
      <c r="E18" s="12">
        <v>46307</v>
      </c>
      <c r="F18" s="10">
        <f t="shared" si="0"/>
        <v>1</v>
      </c>
      <c r="G18" s="10" t="s">
        <v>36</v>
      </c>
      <c r="H18" s="13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</row>
    <row r="19" spans="1:41" x14ac:dyDescent="0.25">
      <c r="A19" s="5">
        <v>3</v>
      </c>
      <c r="B19" s="6" t="s">
        <v>46</v>
      </c>
      <c r="C19" s="6"/>
      <c r="D19" s="7">
        <f>MIN(D20:D28)</f>
        <v>46306</v>
      </c>
      <c r="E19" s="7">
        <f>MAX(E20:E28)</f>
        <v>46318</v>
      </c>
      <c r="F19" s="5">
        <f t="shared" si="0"/>
        <v>13</v>
      </c>
      <c r="G19" s="6"/>
      <c r="H19" s="8">
        <f>AVERAGE(H20:H28)</f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</row>
    <row r="20" spans="1:41" x14ac:dyDescent="0.25">
      <c r="A20" s="10">
        <v>3.1</v>
      </c>
      <c r="B20" s="11" t="s">
        <v>47</v>
      </c>
      <c r="C20" s="11" t="s">
        <v>28</v>
      </c>
      <c r="D20" s="12">
        <v>46308</v>
      </c>
      <c r="E20" s="12">
        <v>46309</v>
      </c>
      <c r="F20" s="10">
        <f t="shared" si="0"/>
        <v>2</v>
      </c>
      <c r="G20" s="10" t="s">
        <v>36</v>
      </c>
      <c r="H20" s="13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</row>
    <row r="21" spans="1:41" x14ac:dyDescent="0.25">
      <c r="A21" s="10">
        <v>3.2</v>
      </c>
      <c r="B21" s="11" t="s">
        <v>48</v>
      </c>
      <c r="C21" s="11" t="s">
        <v>28</v>
      </c>
      <c r="D21" s="12">
        <v>46310</v>
      </c>
      <c r="E21" s="12">
        <v>46312</v>
      </c>
      <c r="F21" s="10">
        <f t="shared" si="0"/>
        <v>3</v>
      </c>
      <c r="G21" s="10" t="s">
        <v>36</v>
      </c>
      <c r="H21" s="13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</row>
    <row r="22" spans="1:41" x14ac:dyDescent="0.25">
      <c r="A22" s="10">
        <v>3.3</v>
      </c>
      <c r="B22" s="11" t="s">
        <v>66</v>
      </c>
      <c r="C22" s="11" t="s">
        <v>31</v>
      </c>
      <c r="D22" s="12">
        <v>46306</v>
      </c>
      <c r="E22" s="12">
        <v>46312</v>
      </c>
      <c r="F22" s="10">
        <f t="shared" si="0"/>
        <v>7</v>
      </c>
      <c r="G22" s="10" t="s">
        <v>36</v>
      </c>
      <c r="H22" s="13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</row>
    <row r="23" spans="1:41" x14ac:dyDescent="0.25">
      <c r="A23" s="10">
        <v>3.4</v>
      </c>
      <c r="B23" s="11" t="s">
        <v>49</v>
      </c>
      <c r="C23" s="11" t="s">
        <v>30</v>
      </c>
      <c r="D23" s="12">
        <v>46307</v>
      </c>
      <c r="E23" s="12">
        <v>46312</v>
      </c>
      <c r="F23" s="10">
        <f t="shared" si="0"/>
        <v>6</v>
      </c>
      <c r="G23" s="10" t="s">
        <v>36</v>
      </c>
      <c r="H23" s="13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</row>
    <row r="24" spans="1:41" x14ac:dyDescent="0.25">
      <c r="A24" s="10">
        <v>3.5</v>
      </c>
      <c r="B24" s="11" t="s">
        <v>19</v>
      </c>
      <c r="C24" s="11" t="s">
        <v>33</v>
      </c>
      <c r="D24" s="12">
        <v>46309</v>
      </c>
      <c r="E24" s="12">
        <v>46314</v>
      </c>
      <c r="F24" s="10">
        <f t="shared" si="0"/>
        <v>6</v>
      </c>
      <c r="G24" s="10" t="s">
        <v>36</v>
      </c>
      <c r="H24" s="13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</row>
    <row r="25" spans="1:41" x14ac:dyDescent="0.25">
      <c r="A25" s="10">
        <v>3.7</v>
      </c>
      <c r="B25" s="11" t="s">
        <v>50</v>
      </c>
      <c r="C25" s="11" t="s">
        <v>30</v>
      </c>
      <c r="D25" s="12">
        <v>46311</v>
      </c>
      <c r="E25" s="12">
        <v>46317</v>
      </c>
      <c r="F25" s="10">
        <f t="shared" si="0"/>
        <v>7</v>
      </c>
      <c r="G25" s="10" t="s">
        <v>36</v>
      </c>
      <c r="H25" s="13">
        <v>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</row>
    <row r="26" spans="1:41" x14ac:dyDescent="0.25">
      <c r="A26" s="10">
        <v>3.8</v>
      </c>
      <c r="B26" s="11" t="s">
        <v>62</v>
      </c>
      <c r="C26" s="11" t="s">
        <v>28</v>
      </c>
      <c r="D26" s="12">
        <v>46311</v>
      </c>
      <c r="E26" s="12">
        <v>46316</v>
      </c>
      <c r="F26" s="10">
        <f t="shared" si="0"/>
        <v>6</v>
      </c>
      <c r="G26" s="10" t="s">
        <v>36</v>
      </c>
      <c r="H26" s="13">
        <v>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</row>
    <row r="27" spans="1:41" x14ac:dyDescent="0.25">
      <c r="A27" s="10">
        <v>3.9</v>
      </c>
      <c r="B27" s="11" t="s">
        <v>21</v>
      </c>
      <c r="C27" s="11" t="s">
        <v>33</v>
      </c>
      <c r="D27" s="12">
        <v>46311</v>
      </c>
      <c r="E27" s="12">
        <v>46317</v>
      </c>
      <c r="F27" s="10">
        <f t="shared" si="0"/>
        <v>7</v>
      </c>
      <c r="G27" s="10" t="s">
        <v>36</v>
      </c>
      <c r="H27" s="13">
        <v>1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</row>
    <row r="28" spans="1:41" x14ac:dyDescent="0.25">
      <c r="A28" s="22">
        <v>3.1</v>
      </c>
      <c r="B28" s="11" t="s">
        <v>61</v>
      </c>
      <c r="C28" s="11" t="s">
        <v>31</v>
      </c>
      <c r="D28" s="12">
        <v>46315</v>
      </c>
      <c r="E28" s="12">
        <v>46318</v>
      </c>
      <c r="F28" s="10">
        <f t="shared" si="0"/>
        <v>4</v>
      </c>
      <c r="G28" s="10" t="s">
        <v>36</v>
      </c>
      <c r="H28" s="13">
        <v>1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</row>
    <row r="29" spans="1:41" x14ac:dyDescent="0.25">
      <c r="A29" s="22">
        <v>3.11</v>
      </c>
      <c r="B29" s="11" t="s">
        <v>20</v>
      </c>
      <c r="C29" s="11" t="s">
        <v>17</v>
      </c>
      <c r="D29" s="12">
        <v>46318</v>
      </c>
      <c r="E29" s="12">
        <v>46318</v>
      </c>
      <c r="F29" s="10">
        <f t="shared" si="0"/>
        <v>1</v>
      </c>
      <c r="G29" s="10" t="s">
        <v>36</v>
      </c>
      <c r="H29" s="13">
        <v>1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</row>
    <row r="30" spans="1:41" x14ac:dyDescent="0.25">
      <c r="A30" s="5">
        <v>4</v>
      </c>
      <c r="B30" s="6" t="s">
        <v>51</v>
      </c>
      <c r="C30" s="6"/>
      <c r="D30" s="7">
        <f>MIN(D31:D34)</f>
        <v>46315</v>
      </c>
      <c r="E30" s="7">
        <f>MAX(E31:E34)</f>
        <v>46323</v>
      </c>
      <c r="F30" s="5">
        <f t="shared" si="0"/>
        <v>9</v>
      </c>
      <c r="G30" s="6"/>
      <c r="H30" s="8">
        <f>AVERAGE(H31:H34)</f>
        <v>1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</row>
    <row r="31" spans="1:41" x14ac:dyDescent="0.25">
      <c r="A31" s="10">
        <v>4.0999999999999996</v>
      </c>
      <c r="B31" s="11" t="s">
        <v>52</v>
      </c>
      <c r="C31" s="11" t="s">
        <v>32</v>
      </c>
      <c r="D31" s="12">
        <v>46318</v>
      </c>
      <c r="E31" s="12">
        <v>46320</v>
      </c>
      <c r="F31" s="10">
        <f t="shared" si="0"/>
        <v>3</v>
      </c>
      <c r="G31" s="10" t="s">
        <v>36</v>
      </c>
      <c r="H31" s="13">
        <v>1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</row>
    <row r="32" spans="1:41" x14ac:dyDescent="0.25">
      <c r="A32" s="10">
        <v>4.2</v>
      </c>
      <c r="B32" s="11" t="s">
        <v>65</v>
      </c>
      <c r="C32" s="11" t="s">
        <v>32</v>
      </c>
      <c r="D32" s="12">
        <v>46318</v>
      </c>
      <c r="E32" s="12">
        <v>46320</v>
      </c>
      <c r="F32" s="10">
        <f t="shared" si="0"/>
        <v>3</v>
      </c>
      <c r="G32" s="10" t="s">
        <v>36</v>
      </c>
      <c r="H32" s="13">
        <v>1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</row>
    <row r="33" spans="1:41" x14ac:dyDescent="0.25">
      <c r="A33" s="10">
        <v>4.3</v>
      </c>
      <c r="B33" s="11" t="s">
        <v>53</v>
      </c>
      <c r="C33" s="11" t="s">
        <v>35</v>
      </c>
      <c r="D33" s="12">
        <v>46315</v>
      </c>
      <c r="E33" s="12">
        <v>46322</v>
      </c>
      <c r="F33" s="10">
        <f t="shared" si="0"/>
        <v>8</v>
      </c>
      <c r="G33" s="10" t="s">
        <v>36</v>
      </c>
      <c r="H33" s="13">
        <v>1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</row>
    <row r="34" spans="1:41" x14ac:dyDescent="0.25">
      <c r="A34" s="10">
        <v>4.4000000000000004</v>
      </c>
      <c r="B34" s="11" t="s">
        <v>54</v>
      </c>
      <c r="C34" s="11" t="s">
        <v>34</v>
      </c>
      <c r="D34" s="12">
        <v>46322</v>
      </c>
      <c r="E34" s="12">
        <v>46323</v>
      </c>
      <c r="F34" s="10">
        <f t="shared" si="0"/>
        <v>2</v>
      </c>
      <c r="G34" s="10" t="s">
        <v>36</v>
      </c>
      <c r="H34" s="13">
        <v>1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</row>
    <row r="35" spans="1:41" x14ac:dyDescent="0.25">
      <c r="A35" s="5">
        <v>5</v>
      </c>
      <c r="B35" s="6" t="s">
        <v>22</v>
      </c>
      <c r="C35" s="6"/>
      <c r="D35" s="7">
        <f>MIN(D36:D40)</f>
        <v>46298</v>
      </c>
      <c r="E35" s="7">
        <f>MAX(E36:E40)</f>
        <v>46326</v>
      </c>
      <c r="F35" s="5">
        <f t="shared" si="0"/>
        <v>29</v>
      </c>
      <c r="G35" s="6"/>
      <c r="H35" s="8">
        <f>AVERAGE(H36:H41)</f>
        <v>1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</row>
    <row r="36" spans="1:41" x14ac:dyDescent="0.25">
      <c r="A36" s="10">
        <v>5.0999999999999996</v>
      </c>
      <c r="B36" s="11" t="s">
        <v>60</v>
      </c>
      <c r="C36" s="11" t="s">
        <v>17</v>
      </c>
      <c r="D36" s="12">
        <v>46307</v>
      </c>
      <c r="E36" s="12">
        <v>46324</v>
      </c>
      <c r="F36" s="10">
        <f t="shared" si="0"/>
        <v>18</v>
      </c>
      <c r="G36" s="10" t="s">
        <v>36</v>
      </c>
      <c r="H36" s="13">
        <v>1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</row>
    <row r="37" spans="1:41" x14ac:dyDescent="0.25">
      <c r="A37" s="10">
        <v>5.2</v>
      </c>
      <c r="B37" s="11" t="s">
        <v>55</v>
      </c>
      <c r="C37" s="11" t="s">
        <v>17</v>
      </c>
      <c r="D37" s="12">
        <v>46298</v>
      </c>
      <c r="E37" s="12">
        <v>46324</v>
      </c>
      <c r="F37" s="10">
        <f t="shared" si="0"/>
        <v>27</v>
      </c>
      <c r="G37" s="10" t="s">
        <v>36</v>
      </c>
      <c r="H37" s="13">
        <v>1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</row>
    <row r="38" spans="1:41" x14ac:dyDescent="0.25">
      <c r="A38" s="10">
        <v>5.3</v>
      </c>
      <c r="B38" s="11" t="s">
        <v>56</v>
      </c>
      <c r="C38" s="11" t="s">
        <v>17</v>
      </c>
      <c r="D38" s="12">
        <v>46322</v>
      </c>
      <c r="E38" s="12">
        <v>46324</v>
      </c>
      <c r="F38" s="10">
        <f t="shared" si="0"/>
        <v>3</v>
      </c>
      <c r="G38" s="10" t="s">
        <v>36</v>
      </c>
      <c r="H38" s="13">
        <v>1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</row>
    <row r="39" spans="1:41" x14ac:dyDescent="0.25">
      <c r="A39" s="10">
        <v>5.4</v>
      </c>
      <c r="B39" s="11" t="s">
        <v>23</v>
      </c>
      <c r="C39" s="11" t="s">
        <v>17</v>
      </c>
      <c r="D39" s="12">
        <v>46324</v>
      </c>
      <c r="E39" s="12">
        <v>46325</v>
      </c>
      <c r="F39" s="10">
        <f t="shared" si="0"/>
        <v>2</v>
      </c>
      <c r="G39" s="10" t="s">
        <v>36</v>
      </c>
      <c r="H39" s="13">
        <v>1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</row>
    <row r="40" spans="1:41" x14ac:dyDescent="0.25">
      <c r="A40" s="10">
        <v>5.5</v>
      </c>
      <c r="B40" s="11" t="s">
        <v>59</v>
      </c>
      <c r="C40" s="11" t="s">
        <v>17</v>
      </c>
      <c r="D40" s="12">
        <v>46326</v>
      </c>
      <c r="E40" s="12">
        <v>46326</v>
      </c>
      <c r="F40" s="10">
        <f t="shared" si="0"/>
        <v>1</v>
      </c>
      <c r="G40" s="10" t="s">
        <v>36</v>
      </c>
      <c r="H40" s="13">
        <v>1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</row>
    <row r="41" spans="1:41" x14ac:dyDescent="0.25">
      <c r="A41" s="1"/>
      <c r="B41" s="1"/>
      <c r="C41" s="1"/>
      <c r="D41" s="1"/>
      <c r="E41" s="1"/>
      <c r="F41" s="1"/>
      <c r="G41" s="1"/>
      <c r="H41" s="1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 x14ac:dyDescent="0.25">
      <c r="A42" s="1"/>
      <c r="B42" s="14"/>
      <c r="C42" s="1"/>
      <c r="D42" s="1"/>
      <c r="E42" s="1"/>
      <c r="F42" s="1"/>
      <c r="G42" s="1"/>
      <c r="H42" s="1"/>
      <c r="I42" s="15"/>
      <c r="J42" s="16" t="s">
        <v>24</v>
      </c>
      <c r="K42" s="1"/>
      <c r="L42" s="1"/>
      <c r="M42" s="1"/>
      <c r="N42" s="1"/>
      <c r="O42" s="1"/>
      <c r="P42" s="17"/>
      <c r="Q42" s="16" t="s">
        <v>25</v>
      </c>
      <c r="R42" s="1"/>
      <c r="S42" s="1"/>
      <c r="T42" s="1"/>
      <c r="U42" s="1"/>
      <c r="V42" s="1"/>
      <c r="W42" s="18"/>
      <c r="X42" s="16" t="s">
        <v>26</v>
      </c>
      <c r="Y42" s="1"/>
      <c r="Z42" s="1"/>
      <c r="AA42" s="1"/>
      <c r="AB42" s="1"/>
      <c r="AC42" s="1"/>
      <c r="AD42" s="19"/>
      <c r="AE42" s="16" t="s">
        <v>27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 x14ac:dyDescent="0.25">
      <c r="A43" s="1"/>
      <c r="B43" s="20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</sheetData>
  <mergeCells count="9">
    <mergeCell ref="A1:AO1"/>
    <mergeCell ref="G4:G5"/>
    <mergeCell ref="H4:H5"/>
    <mergeCell ref="B4:B5"/>
    <mergeCell ref="C4:C5"/>
    <mergeCell ref="A4:A5"/>
    <mergeCell ref="F4:F5"/>
    <mergeCell ref="E4:E5"/>
    <mergeCell ref="D4:D5"/>
  </mergeCells>
  <conditionalFormatting sqref="I6:K6 M6 O6:AO6 I7:AO40">
    <cfRule type="expression" dxfId="7" priority="1" stopIfTrue="1">
      <formula>AND(I$4&gt;=$D6,I$4&lt;=$E6,ISNUMBER(SEARCH("Reunión",$B6)))</formula>
    </cfRule>
    <cfRule type="expression" dxfId="6" priority="2" stopIfTrue="1">
      <formula>AND(I$4&gt;=$D6,I$4&lt;=$E6,$C6="")</formula>
    </cfRule>
    <cfRule type="expression" dxfId="5" priority="3" stopIfTrue="1">
      <formula>AND(I$4&gt;=$D6,I$4&lt;=$E6)</formula>
    </cfRule>
    <cfRule type="expression" dxfId="4" priority="4">
      <formula>WEEKDAY(I$4,2)&gt;5</formula>
    </cfRule>
  </conditionalFormatting>
  <conditionalFormatting sqref="N6">
    <cfRule type="expression" dxfId="3" priority="9" stopIfTrue="1">
      <formula>AND(L$4&gt;=$D6,L$4&lt;=$E6,ISNUMBER(SEARCH("Reunión",$B6)))</formula>
    </cfRule>
    <cfRule type="expression" dxfId="2" priority="10" stopIfTrue="1">
      <formula>AND(L$4&gt;=$D6,L$4&lt;=$E6,$C6="")</formula>
    </cfRule>
    <cfRule type="expression" dxfId="1" priority="11" stopIfTrue="1">
      <formula>AND(L$4&gt;=$D6,L$4&lt;=$E6)</formula>
    </cfRule>
    <cfRule type="expression" dxfId="0" priority="12">
      <formula>WEEKDAY(L$4,2)&gt;5</formula>
    </cfRule>
  </conditionalFormatting>
  <dataValidations count="1">
    <dataValidation type="list" allowBlank="1" sqref="G6:G12 G14:G18 G31:G34 G36:G40 G20:G29" xr:uid="{00000000-0002-0000-0000-000000000000}">
      <formula1>"Pendiente,En progreso,Completado,Atrasado"</formula1>
    </dataValidation>
  </dataValidations>
  <pageMargins left="0.3" right="0.3" top="0.4" bottom="0.4" header="0.5" footer="0.5"/>
  <pageSetup fitToHeight="0" orientation="landscape"/>
  <headerFooter>
    <oddFooter>&amp;CPágina &amp;P de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E67506-E577-4F49-9B67-98575231AA86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635773e-15a9-434b-b2f6-713c305209d6}" enabled="1" method="Standard" siteId="{abf5c440-3f92-43e8-899f-5544d4d68ff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Cronograma</vt:lpstr>
      <vt:lpstr>Cronograma!Área_de_impresión</vt:lpstr>
      <vt:lpstr>Cronograma!Títulos_a_imprimir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Erick Quiñonez</cp:lastModifiedBy>
  <dcterms:created xsi:type="dcterms:W3CDTF">2026-09-30T05:05:57Z</dcterms:created>
  <dcterms:modified xsi:type="dcterms:W3CDTF">2026-10-31T15:22:13Z</dcterms:modified>
</cp:coreProperties>
</file>